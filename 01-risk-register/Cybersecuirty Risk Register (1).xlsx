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06"/>
  <workbookPr defaultThemeVersion="166925"/>
  <xr:revisionPtr revIDLastSave="0" documentId="8_{A79A2FBB-4E4E-443F-993C-ECEA4C6B55D3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G3" i="1"/>
  <c r="G4" i="1"/>
  <c r="G5" i="1"/>
  <c r="G6" i="1"/>
  <c r="G7" i="1"/>
  <c r="G2" i="1"/>
  <c r="F2" i="1"/>
</calcChain>
</file>

<file path=xl/sharedStrings.xml><?xml version="1.0" encoding="utf-8"?>
<sst xmlns="http://schemas.openxmlformats.org/spreadsheetml/2006/main" count="46" uniqueCount="33">
  <si>
    <t>Risk ID</t>
  </si>
  <si>
    <t>Asset / Process</t>
  </si>
  <si>
    <t>Risk Description</t>
  </si>
  <si>
    <t>Likelihood</t>
  </si>
  <si>
    <t>Impact</t>
  </si>
  <si>
    <t>Risk Score</t>
  </si>
  <si>
    <t>Risk Rating</t>
  </si>
  <si>
    <t>Mitigation</t>
  </si>
  <si>
    <t>Owner</t>
  </si>
  <si>
    <t>Status</t>
  </si>
  <si>
    <t>R-01</t>
  </si>
  <si>
    <t>Employee accounts</t>
  </si>
  <si>
    <t>MFA not enforced, increasing account takeover risk</t>
  </si>
  <si>
    <t>IT Administrator</t>
  </si>
  <si>
    <t>Open</t>
  </si>
  <si>
    <t>R-02</t>
  </si>
  <si>
    <t>Email</t>
  </si>
  <si>
    <t>Phishing could expose employee credentials</t>
  </si>
  <si>
    <t>Security Coordinator</t>
  </si>
  <si>
    <t>R-03</t>
  </si>
  <si>
    <t>Laptops</t>
  </si>
  <si>
    <t>Lost laptop could expose sensitive data if encryption is absent</t>
  </si>
  <si>
    <t>R-04</t>
  </si>
  <si>
    <t>User access</t>
  </si>
  <si>
    <t>Former employee accounts may remain active</t>
  </si>
  <si>
    <t>HR and IT</t>
  </si>
  <si>
    <t>R-05</t>
  </si>
  <si>
    <t>Backups</t>
  </si>
  <si>
    <t>Ransomware or deletion could make important files unrecoverable</t>
  </si>
  <si>
    <t>R-06</t>
  </si>
  <si>
    <t>Customer data</t>
  </si>
  <si>
    <t>Excessive permissions could expose sensitive information</t>
  </si>
  <si>
    <t>System Owners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</si>
</sst>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"/>
  <sheetViews>
    <sheetView tabSelected="1" workbookViewId="0">
      <selection activeCell="J7" sqref="J7"/>
    </sheetView>
  </sheetViews>
  <sheetFormatPr defaultRowHeight="15"/>
  <cols>
    <col min="2" max="2" width="13.5703125" customWidth="1"/>
    <col min="3" max="3" width="57.5703125" customWidth="1"/>
    <col min="4" max="4" width="9.7109375" customWidth="1"/>
    <col min="5" max="5" width="7.140625" customWidth="1"/>
    <col min="6" max="6" width="9.7109375" customWidth="1"/>
    <col min="7" max="7" width="10.140625" customWidth="1"/>
    <col min="8" max="8" width="21.140625" customWidth="1"/>
    <col min="9" max="9" width="7.4257812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>
        <v>4</v>
      </c>
      <c r="E2">
        <v>5</v>
      </c>
      <c r="F2">
        <f>IF(OR(D2="",E2=""),"",D2*E2)</f>
        <v>20</v>
      </c>
      <c r="G2" t="str">
        <f>IF(F2="","",IF(F2&gt;=17,"Critical",IF(F2&gt;=10,"High",IF(F2&gt;=5,"Medium","Low"))))</f>
        <v>Critical</v>
      </c>
      <c r="H2" t="s">
        <v>13</v>
      </c>
      <c r="I2" t="s">
        <v>14</v>
      </c>
      <c r="J2" t="s">
        <v>14</v>
      </c>
    </row>
    <row r="3" spans="1:10">
      <c r="A3" t="s">
        <v>15</v>
      </c>
      <c r="B3" t="s">
        <v>16</v>
      </c>
      <c r="C3" t="s">
        <v>17</v>
      </c>
      <c r="D3">
        <v>4</v>
      </c>
      <c r="E3">
        <v>4</v>
      </c>
      <c r="F3">
        <f t="shared" ref="F3:F7" si="0">IF(OR(D3="",E3=""),"",D3*E3)</f>
        <v>16</v>
      </c>
      <c r="G3" t="str">
        <f t="shared" ref="G3:G7" si="1">IF(F3="","",IF(F3&gt;=17,"Critical",IF(F3&gt;=10,"High",IF(F3&gt;=5,"Medium","Low"))))</f>
        <v>High</v>
      </c>
      <c r="H3" t="s">
        <v>18</v>
      </c>
      <c r="I3" t="s">
        <v>14</v>
      </c>
      <c r="J3" t="s">
        <v>14</v>
      </c>
    </row>
    <row r="4" spans="1:10">
      <c r="A4" t="s">
        <v>19</v>
      </c>
      <c r="B4" t="s">
        <v>20</v>
      </c>
      <c r="C4" t="s">
        <v>21</v>
      </c>
      <c r="D4">
        <v>3</v>
      </c>
      <c r="E4">
        <v>5</v>
      </c>
      <c r="F4">
        <f t="shared" si="0"/>
        <v>15</v>
      </c>
      <c r="G4" t="str">
        <f t="shared" si="1"/>
        <v>High</v>
      </c>
      <c r="H4" t="s">
        <v>13</v>
      </c>
      <c r="I4" t="s">
        <v>14</v>
      </c>
      <c r="J4" t="s">
        <v>14</v>
      </c>
    </row>
    <row r="5" spans="1:10">
      <c r="A5" t="s">
        <v>22</v>
      </c>
      <c r="B5" t="s">
        <v>23</v>
      </c>
      <c r="C5" t="s">
        <v>24</v>
      </c>
      <c r="D5">
        <v>3</v>
      </c>
      <c r="E5">
        <v>4</v>
      </c>
      <c r="F5">
        <f t="shared" si="0"/>
        <v>12</v>
      </c>
      <c r="G5" t="str">
        <f t="shared" si="1"/>
        <v>High</v>
      </c>
      <c r="H5" t="s">
        <v>25</v>
      </c>
      <c r="I5" t="s">
        <v>14</v>
      </c>
      <c r="J5" t="s">
        <v>14</v>
      </c>
    </row>
    <row r="6" spans="1:10">
      <c r="A6" t="s">
        <v>26</v>
      </c>
      <c r="B6" t="s">
        <v>27</v>
      </c>
      <c r="C6" t="s">
        <v>28</v>
      </c>
      <c r="D6">
        <v>3</v>
      </c>
      <c r="E6">
        <v>5</v>
      </c>
      <c r="F6">
        <f t="shared" si="0"/>
        <v>15</v>
      </c>
      <c r="G6" t="str">
        <f t="shared" si="1"/>
        <v>High</v>
      </c>
      <c r="H6" t="s">
        <v>13</v>
      </c>
      <c r="I6" t="s">
        <v>14</v>
      </c>
      <c r="J6" t="s">
        <v>14</v>
      </c>
    </row>
    <row r="7" spans="1:10">
      <c r="A7" t="s">
        <v>29</v>
      </c>
      <c r="B7" t="s">
        <v>30</v>
      </c>
      <c r="C7" t="s">
        <v>31</v>
      </c>
      <c r="D7">
        <v>3</v>
      </c>
      <c r="E7">
        <v>4</v>
      </c>
      <c r="F7">
        <f t="shared" si="0"/>
        <v>12</v>
      </c>
      <c r="G7" t="str">
        <f t="shared" si="1"/>
        <v>High</v>
      </c>
      <c r="H7" t="s">
        <v>32</v>
      </c>
      <c r="I7" t="s">
        <v>14</v>
      </c>
      <c r="J7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2026-10-12T18:26:41Z</dcterms:created>
  <dcterms:modified xsi:type="dcterms:W3CDTF">2026-10-12T18:56:33Z</dcterms:modified>
  <cp:category/>
  <cp:contentStatus/>
</cp:coreProperties>
</file>